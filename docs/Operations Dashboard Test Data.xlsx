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mang Sinha\Downloads\OEM-Umang Sinha\Operational Dashboard Project\"/>
    </mc:Choice>
  </mc:AlternateContent>
  <bookViews>
    <workbookView xWindow="0" yWindow="0" windowWidth="23040" windowHeight="10512" activeTab="2"/>
  </bookViews>
  <sheets>
    <sheet name="Hitachi" sheetId="1" r:id="rId1"/>
    <sheet name="Godrej" sheetId="2" r:id="rId2"/>
    <sheet name="Samsu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H2" i="1"/>
  <c r="G2" i="1"/>
</calcChain>
</file>

<file path=xl/sharedStrings.xml><?xml version="1.0" encoding="utf-8"?>
<sst xmlns="http://schemas.openxmlformats.org/spreadsheetml/2006/main" count="375" uniqueCount="174">
  <si>
    <t>Warranty Serial No.</t>
  </si>
  <si>
    <t>Customer Premium</t>
  </si>
  <si>
    <t>Retailer Premium</t>
  </si>
  <si>
    <t>Zopper Plan Duration</t>
  </si>
  <si>
    <t>Warranty Activation Code</t>
  </si>
  <si>
    <t>Warranty Purchase Date</t>
  </si>
  <si>
    <t>Month</t>
  </si>
  <si>
    <t>Year</t>
  </si>
  <si>
    <t>Warranty Start Date</t>
  </si>
  <si>
    <t>Warranty End Date</t>
  </si>
  <si>
    <t>Warranty Verified</t>
  </si>
  <si>
    <t>Brand Warranty Duration</t>
  </si>
  <si>
    <t>Warranty Status</t>
  </si>
  <si>
    <t>Warranty Type</t>
  </si>
  <si>
    <t>Store ID</t>
  </si>
  <si>
    <t>Store Name</t>
  </si>
  <si>
    <t>parent_channel</t>
  </si>
  <si>
    <t>Distributor ID</t>
  </si>
  <si>
    <t>Distributor Name</t>
  </si>
  <si>
    <t>Store Type</t>
  </si>
  <si>
    <t>Business ID</t>
  </si>
  <si>
    <t>Business Name</t>
  </si>
  <si>
    <t>Customer_City</t>
  </si>
  <si>
    <t>Customer_State</t>
  </si>
  <si>
    <t>Customer_Name</t>
  </si>
  <si>
    <t>Customer_Mobile</t>
  </si>
  <si>
    <t>Customer_Email</t>
  </si>
  <si>
    <t>Customer_Address</t>
  </si>
  <si>
    <t>Customer_PinCode</t>
  </si>
  <si>
    <t>Appliance Model Name</t>
  </si>
  <si>
    <t>Invoice_Number</t>
  </si>
  <si>
    <t>Product_Category_ID</t>
  </si>
  <si>
    <t>Product_Category</t>
  </si>
  <si>
    <t>Product_Coverage</t>
  </si>
  <si>
    <t>Product_Serial_Number</t>
  </si>
  <si>
    <t>Product Purchased Date</t>
  </si>
  <si>
    <t>los_number</t>
  </si>
  <si>
    <t>sla_number</t>
  </si>
  <si>
    <t>display_plan_name</t>
  </si>
  <si>
    <t>Warranty_Mode</t>
  </si>
  <si>
    <t>Payment_Status</t>
  </si>
  <si>
    <t>payment_mode</t>
  </si>
  <si>
    <t>source</t>
  </si>
  <si>
    <t>Insured_Company</t>
  </si>
  <si>
    <t>Insured_Status</t>
  </si>
  <si>
    <t>Retailer Invoice No.</t>
  </si>
  <si>
    <t>WBN3560015</t>
  </si>
  <si>
    <t>Verified</t>
  </si>
  <si>
    <t>Active</t>
  </si>
  <si>
    <t>COMPLETE CARE</t>
  </si>
  <si>
    <t>Infiniti Electronic</t>
  </si>
  <si>
    <t>Hitachi</t>
  </si>
  <si>
    <t>Hitachi Sales</t>
  </si>
  <si>
    <t>HITACHI ASC</t>
  </si>
  <si>
    <t>Hooghly</t>
  </si>
  <si>
    <t>West Bengal</t>
  </si>
  <si>
    <t>SHYAM SUNDAR GHOSH</t>
  </si>
  <si>
    <t>infinitielectronic957@gmail.com</t>
  </si>
  <si>
    <t>Chakfazil,Batanal,Hooghly</t>
  </si>
  <si>
    <t>SPLIT AC - 1.5TR CLASS HITACHI IZEN 3400FXL FROST WASH INVERTER - R32- RAS.G318PCBISF</t>
  </si>
  <si>
    <t>W3224/2425/00400</t>
  </si>
  <si>
    <t>Air Conditioner</t>
  </si>
  <si>
    <t>SE230S29811</t>
  </si>
  <si>
    <t>API Upload</t>
  </si>
  <si>
    <t>payment</t>
  </si>
  <si>
    <t>online</t>
  </si>
  <si>
    <t>Not_Insured</t>
  </si>
  <si>
    <t>WBN1076595</t>
  </si>
  <si>
    <t>Goutam Dey</t>
  </si>
  <si>
    <t>Batanal,Hooghly</t>
  </si>
  <si>
    <t>SPLIT AC - 1.5TR CLASS HITACHI YOSHI 5400FXL FROST WASH INVERTER - R32 - RAS.G518PCA1SF</t>
  </si>
  <si>
    <t>W3224/2425/01444</t>
  </si>
  <si>
    <t>SE240B07970</t>
  </si>
  <si>
    <t>WBN8212030</t>
  </si>
  <si>
    <t>Sekh Nasir Uddin</t>
  </si>
  <si>
    <t>Arambagh, Hooghly</t>
  </si>
  <si>
    <t>SPLIT AC - 1.5TR CLASS HITACHI YOSHI 5400FXL FROST WASH INVERTER - R32- RAS.G518PCBISF</t>
  </si>
  <si>
    <t>W3224/2425/00089</t>
  </si>
  <si>
    <t>SE240A42886</t>
  </si>
  <si>
    <t>Delhi</t>
  </si>
  <si>
    <t>Remarks</t>
  </si>
  <si>
    <t>Pending Payment</t>
  </si>
  <si>
    <t>Additional Remarks</t>
  </si>
  <si>
    <t>Hitachi wavied off the Payment</t>
  </si>
  <si>
    <t>CRM ID</t>
  </si>
  <si>
    <t>-</t>
  </si>
  <si>
    <t>Plan Active</t>
  </si>
  <si>
    <t>Plan Inactive</t>
  </si>
  <si>
    <t>Hitachi Share is not released , Activation is under progress</t>
  </si>
  <si>
    <t>HOM100444</t>
  </si>
  <si>
    <t>Unverified</t>
  </si>
  <si>
    <t>Pending</t>
  </si>
  <si>
    <t>AMC</t>
  </si>
  <si>
    <t>godrej service retailer</t>
  </si>
  <si>
    <t>Godrej</t>
  </si>
  <si>
    <t>Godrej Service center</t>
  </si>
  <si>
    <t>GODREJ SERVICE RETAILER</t>
  </si>
  <si>
    <t>GODREJ_SERVICE</t>
  </si>
  <si>
    <t>New Delhi</t>
  </si>
  <si>
    <t>sid</t>
  </si>
  <si>
    <t>9754546786</t>
  </si>
  <si>
    <t>siddharth.chauhan@zopper.com</t>
  </si>
  <si>
    <t>testjx</t>
  </si>
  <si>
    <t>AC 1.5T GIC 18TTC5-WVA Split</t>
  </si>
  <si>
    <t>45000.00</t>
  </si>
  <si>
    <t>kfodjkvjcysjljkcjc</t>
  </si>
  <si>
    <t>2026-01-01 00:00:00.000000</t>
  </si>
  <si>
    <t>HOM603526</t>
  </si>
  <si>
    <t>9276496949</t>
  </si>
  <si>
    <t>test12345</t>
  </si>
  <si>
    <t>123456788901234567</t>
  </si>
  <si>
    <t>HOM942056</t>
  </si>
  <si>
    <t>HOM972387</t>
  </si>
  <si>
    <t>verified</t>
  </si>
  <si>
    <t>Contract ID</t>
  </si>
  <si>
    <t>Contract Booked</t>
  </si>
  <si>
    <t>Plan is Booked on SFDC</t>
  </si>
  <si>
    <t>Not Booked</t>
  </si>
  <si>
    <t>Plan is in Found Error</t>
  </si>
  <si>
    <t>cooling window of 21 days is on</t>
  </si>
  <si>
    <t>Payment Status is false</t>
  </si>
  <si>
    <t>Store_ID</t>
  </si>
  <si>
    <t>Store_Name</t>
  </si>
  <si>
    <t>Branch_Name</t>
  </si>
  <si>
    <t>Parent_ID</t>
  </si>
  <si>
    <t>Parent_Name</t>
  </si>
  <si>
    <t>Samsung Policy ID</t>
  </si>
  <si>
    <t>PID</t>
  </si>
  <si>
    <t>UNK7491219</t>
  </si>
  <si>
    <t>30/Sep/26</t>
  </si>
  <si>
    <t>29/Aug/26</t>
  </si>
  <si>
    <t>28/Aug/27</t>
  </si>
  <si>
    <t>Screen Protection</t>
  </si>
  <si>
    <t>Vijay Sales Bulk</t>
  </si>
  <si>
    <t>AHMEDABAD(R3MALL) BR</t>
  </si>
  <si>
    <t>Samsung Admin User</t>
  </si>
  <si>
    <t>Samsung Protect Max Bulk Upload</t>
  </si>
  <si>
    <t>Galaxy A06 5G</t>
  </si>
  <si>
    <t>Mobile</t>
  </si>
  <si>
    <t>352558720702159</t>
  </si>
  <si>
    <t>Samsung Protect Max Screen Protect</t>
  </si>
  <si>
    <t>IND26I9016461717</t>
  </si>
  <si>
    <t>INDPRD20260615000585</t>
  </si>
  <si>
    <t>UNK3419184</t>
  </si>
  <si>
    <t>30/Aug/27</t>
  </si>
  <si>
    <t>29/Aug/28</t>
  </si>
  <si>
    <t>EW + ADLD</t>
  </si>
  <si>
    <t>Croma Bulk</t>
  </si>
  <si>
    <t>A144</t>
  </si>
  <si>
    <t>Galaxy Z Fold8 Ultra</t>
  </si>
  <si>
    <t>354579720281240</t>
  </si>
  <si>
    <t>Samsung Protect Max Combo</t>
  </si>
  <si>
    <t>IND26I2615746548</t>
  </si>
  <si>
    <t>INDPRD20260615000757</t>
  </si>
  <si>
    <t>UNK7802851</t>
  </si>
  <si>
    <t>28/Sep/27</t>
  </si>
  <si>
    <t>27/Sep/28</t>
  </si>
  <si>
    <t>Sangeetha Mobiles</t>
  </si>
  <si>
    <t>Marathahalli - 4 - (Ring Road Junction)</t>
  </si>
  <si>
    <t>Galaxy Z Fold8</t>
  </si>
  <si>
    <t>350961350156161</t>
  </si>
  <si>
    <t>29/Sep/26</t>
  </si>
  <si>
    <t>IND26I3953776323</t>
  </si>
  <si>
    <t>UNK8330595</t>
  </si>
  <si>
    <t>11/Sep/26</t>
  </si>
  <si>
    <t>27/Aug/27</t>
  </si>
  <si>
    <t>26/Aug/28</t>
  </si>
  <si>
    <t>Reliance Digital</t>
  </si>
  <si>
    <t>8943</t>
  </si>
  <si>
    <t>Galaxy A57 5G</t>
  </si>
  <si>
    <t>351791523012184</t>
  </si>
  <si>
    <t>27/Aug/26</t>
  </si>
  <si>
    <t>IND26I6389752582</t>
  </si>
  <si>
    <t>INDPRD20250522000847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</si>
</sst>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D9E1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workbookViewId="0"/>
  </sheetViews>
  <sheetFormatPr defaultRowHeight="14.4" x14ac:dyDescent="0.3"/>
  <cols>
    <col min="1" max="2" width="14.21875" bestFit="1" customWidth="1"/>
    <col min="3" max="3" width="13" bestFit="1" customWidth="1"/>
    <col min="4" max="4" width="15.44140625" bestFit="1" customWidth="1"/>
    <col min="5" max="5" width="18.5546875" bestFit="1" customWidth="1"/>
    <col min="6" max="6" width="17.44140625" bestFit="1" customWidth="1"/>
    <col min="7" max="7" width="5.33203125" bestFit="1" customWidth="1"/>
    <col min="8" max="8" width="3.88671875" bestFit="1" customWidth="1"/>
    <col min="9" max="9" width="14.33203125" bestFit="1" customWidth="1"/>
    <col min="10" max="10" width="13.6640625" bestFit="1" customWidth="1"/>
    <col min="11" max="11" width="13.21875" bestFit="1" customWidth="1"/>
    <col min="12" max="12" width="18" bestFit="1" customWidth="1"/>
    <col min="13" max="13" width="11.6640625" bestFit="1" customWidth="1"/>
    <col min="14" max="14" width="11.88671875" bestFit="1" customWidth="1"/>
    <col min="15" max="15" width="6.21875" bestFit="1" customWidth="1"/>
    <col min="16" max="16" width="12.5546875" bestFit="1" customWidth="1"/>
    <col min="17" max="17" width="11.5546875" bestFit="1" customWidth="1"/>
    <col min="18" max="18" width="10" bestFit="1" customWidth="1"/>
    <col min="19" max="19" width="12.6640625" bestFit="1" customWidth="1"/>
    <col min="20" max="20" width="8.109375" bestFit="1" customWidth="1"/>
    <col min="21" max="21" width="8.5546875" bestFit="1" customWidth="1"/>
    <col min="22" max="22" width="11.21875" bestFit="1" customWidth="1"/>
    <col min="23" max="23" width="10.88671875" bestFit="1" customWidth="1"/>
    <col min="24" max="24" width="11.77734375" bestFit="1" customWidth="1"/>
    <col min="25" max="25" width="17.21875" bestFit="1" customWidth="1"/>
    <col min="26" max="26" width="13.21875" bestFit="1" customWidth="1"/>
    <col min="27" max="27" width="23.5546875" bestFit="1" customWidth="1"/>
    <col min="28" max="28" width="21.5546875" bestFit="1" customWidth="1"/>
    <col min="29" max="29" width="14.109375" bestFit="1" customWidth="1"/>
    <col min="30" max="30" width="66.109375" bestFit="1" customWidth="1"/>
    <col min="31" max="31" width="13.77734375" bestFit="1" customWidth="1"/>
    <col min="32" max="32" width="15.33203125" bestFit="1" customWidth="1"/>
    <col min="33" max="33" width="13.109375" bestFit="1" customWidth="1"/>
    <col min="34" max="34" width="13.44140625" bestFit="1" customWidth="1"/>
    <col min="35" max="35" width="17.44140625" bestFit="1" customWidth="1"/>
    <col min="36" max="36" width="17.33203125" bestFit="1" customWidth="1"/>
    <col min="37" max="37" width="9" bestFit="1" customWidth="1"/>
    <col min="39" max="39" width="14.21875" bestFit="1" customWidth="1"/>
    <col min="40" max="41" width="11.88671875" bestFit="1" customWidth="1"/>
    <col min="42" max="42" width="11.6640625" bestFit="1" customWidth="1"/>
    <col min="43" max="43" width="5.33203125" bestFit="1" customWidth="1"/>
    <col min="44" max="44" width="13.33203125" bestFit="1" customWidth="1"/>
    <col min="45" max="45" width="11" bestFit="1" customWidth="1"/>
    <col min="46" max="46" width="14.44140625" bestFit="1" customWidth="1"/>
    <col min="47" max="47" width="14.44140625" customWidth="1"/>
    <col min="48" max="48" width="13" bestFit="1" customWidth="1"/>
    <col min="49" max="49" width="41.2187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5" t="s">
        <v>84</v>
      </c>
      <c r="AV1" s="5" t="s">
        <v>80</v>
      </c>
      <c r="AW1" s="5" t="s">
        <v>82</v>
      </c>
    </row>
    <row r="2" spans="1:49" x14ac:dyDescent="0.3">
      <c r="A2" s="1">
        <v>14541945</v>
      </c>
      <c r="B2" s="1">
        <v>2099</v>
      </c>
      <c r="C2" s="1">
        <v>1679</v>
      </c>
      <c r="D2" s="1">
        <v>24</v>
      </c>
      <c r="E2" s="1" t="s">
        <v>46</v>
      </c>
      <c r="F2" s="2">
        <v>45752</v>
      </c>
      <c r="G2" s="2" t="str">
        <f t="shared" ref="G2:G4" si="0">TEXT(F2,"mmm-yy")</f>
        <v>Apr-25</v>
      </c>
      <c r="H2" s="3">
        <f t="shared" ref="H2:H4" si="1">YEAR(F2)</f>
        <v>2025</v>
      </c>
      <c r="I2" s="2">
        <v>45778</v>
      </c>
      <c r="J2" s="2">
        <v>46507</v>
      </c>
      <c r="K2" s="1" t="s">
        <v>47</v>
      </c>
      <c r="L2" s="1">
        <v>12</v>
      </c>
      <c r="M2" s="1" t="s">
        <v>48</v>
      </c>
      <c r="N2" s="1" t="s">
        <v>49</v>
      </c>
      <c r="O2" s="1">
        <v>583431</v>
      </c>
      <c r="P2" s="1" t="s">
        <v>50</v>
      </c>
      <c r="Q2" s="1" t="s">
        <v>51</v>
      </c>
      <c r="R2" s="1">
        <v>326873</v>
      </c>
      <c r="S2" s="1" t="s">
        <v>52</v>
      </c>
      <c r="T2" s="1" t="s">
        <v>51</v>
      </c>
      <c r="U2" s="1">
        <v>76</v>
      </c>
      <c r="V2" s="1" t="s">
        <v>53</v>
      </c>
      <c r="W2" s="1" t="s">
        <v>54</v>
      </c>
      <c r="X2" s="1" t="s">
        <v>55</v>
      </c>
      <c r="Y2" s="1" t="s">
        <v>56</v>
      </c>
      <c r="Z2" s="1">
        <v>9732568546</v>
      </c>
      <c r="AA2" s="1" t="s">
        <v>57</v>
      </c>
      <c r="AB2" s="1" t="s">
        <v>58</v>
      </c>
      <c r="AC2" s="1">
        <v>712615</v>
      </c>
      <c r="AD2" s="1" t="s">
        <v>59</v>
      </c>
      <c r="AE2" s="1" t="s">
        <v>60</v>
      </c>
      <c r="AF2" s="1">
        <v>48</v>
      </c>
      <c r="AG2" s="1" t="s">
        <v>61</v>
      </c>
      <c r="AH2" s="1">
        <v>50000</v>
      </c>
      <c r="AI2" s="1" t="s">
        <v>62</v>
      </c>
      <c r="AJ2" s="2">
        <v>45413</v>
      </c>
      <c r="AK2" s="1"/>
      <c r="AL2" s="1"/>
      <c r="AM2" s="1" t="s">
        <v>49</v>
      </c>
      <c r="AN2" s="1" t="s">
        <v>63</v>
      </c>
      <c r="AO2" s="1" t="b">
        <v>1</v>
      </c>
      <c r="AP2" s="1" t="s">
        <v>64</v>
      </c>
      <c r="AQ2" s="1" t="s">
        <v>65</v>
      </c>
      <c r="AR2" s="1"/>
      <c r="AS2" s="1" t="s">
        <v>66</v>
      </c>
      <c r="AT2" s="1"/>
      <c r="AU2" s="1" t="s">
        <v>85</v>
      </c>
      <c r="AV2" s="1" t="s">
        <v>81</v>
      </c>
      <c r="AW2" s="4" t="s">
        <v>83</v>
      </c>
    </row>
    <row r="3" spans="1:49" x14ac:dyDescent="0.3">
      <c r="A3" s="1">
        <v>14543090</v>
      </c>
      <c r="B3" s="1">
        <v>2099</v>
      </c>
      <c r="C3" s="1">
        <v>1679</v>
      </c>
      <c r="D3" s="1">
        <v>24</v>
      </c>
      <c r="E3" s="1" t="s">
        <v>67</v>
      </c>
      <c r="F3" s="2">
        <v>45753</v>
      </c>
      <c r="G3" s="2" t="str">
        <f t="shared" si="0"/>
        <v>Apr-25</v>
      </c>
      <c r="H3" s="3">
        <f t="shared" si="1"/>
        <v>2025</v>
      </c>
      <c r="I3" s="2">
        <v>45778</v>
      </c>
      <c r="J3" s="2">
        <v>46507</v>
      </c>
      <c r="K3" s="1" t="s">
        <v>47</v>
      </c>
      <c r="L3" s="1">
        <v>12</v>
      </c>
      <c r="M3" s="1" t="s">
        <v>48</v>
      </c>
      <c r="N3" s="1" t="s">
        <v>49</v>
      </c>
      <c r="O3" s="1">
        <v>583431</v>
      </c>
      <c r="P3" s="1" t="s">
        <v>50</v>
      </c>
      <c r="Q3" s="1" t="s">
        <v>51</v>
      </c>
      <c r="R3" s="1">
        <v>326873</v>
      </c>
      <c r="S3" s="1" t="s">
        <v>52</v>
      </c>
      <c r="T3" s="1" t="s">
        <v>51</v>
      </c>
      <c r="U3" s="1">
        <v>76</v>
      </c>
      <c r="V3" s="1" t="s">
        <v>53</v>
      </c>
      <c r="W3" s="1" t="s">
        <v>54</v>
      </c>
      <c r="X3" s="1" t="s">
        <v>55</v>
      </c>
      <c r="Y3" s="1" t="s">
        <v>68</v>
      </c>
      <c r="Z3" s="1">
        <v>8918360716</v>
      </c>
      <c r="AA3" s="1" t="s">
        <v>57</v>
      </c>
      <c r="AB3" s="1" t="s">
        <v>69</v>
      </c>
      <c r="AC3" s="1">
        <v>712615</v>
      </c>
      <c r="AD3" s="1" t="s">
        <v>70</v>
      </c>
      <c r="AE3" s="1" t="s">
        <v>71</v>
      </c>
      <c r="AF3" s="1">
        <v>48</v>
      </c>
      <c r="AG3" s="1" t="s">
        <v>61</v>
      </c>
      <c r="AH3" s="1">
        <v>50000</v>
      </c>
      <c r="AI3" s="1" t="s">
        <v>72</v>
      </c>
      <c r="AJ3" s="2">
        <v>45413</v>
      </c>
      <c r="AK3" s="1"/>
      <c r="AL3" s="1"/>
      <c r="AM3" s="1" t="s">
        <v>49</v>
      </c>
      <c r="AN3" s="1" t="s">
        <v>63</v>
      </c>
      <c r="AO3" s="1" t="b">
        <v>1</v>
      </c>
      <c r="AP3" s="1" t="s">
        <v>64</v>
      </c>
      <c r="AQ3" s="1" t="s">
        <v>65</v>
      </c>
      <c r="AR3" s="1"/>
      <c r="AS3" s="1" t="s">
        <v>66</v>
      </c>
      <c r="AT3" s="1"/>
      <c r="AU3" s="1">
        <v>122334</v>
      </c>
      <c r="AV3" s="1" t="s">
        <v>86</v>
      </c>
      <c r="AW3" s="4" t="s">
        <v>85</v>
      </c>
    </row>
    <row r="4" spans="1:49" x14ac:dyDescent="0.3">
      <c r="A4" s="1">
        <v>14543214</v>
      </c>
      <c r="B4" s="1">
        <v>2099</v>
      </c>
      <c r="C4" s="1">
        <v>1679</v>
      </c>
      <c r="D4" s="1">
        <v>24</v>
      </c>
      <c r="E4" s="1" t="s">
        <v>73</v>
      </c>
      <c r="F4" s="2">
        <v>45753</v>
      </c>
      <c r="G4" s="2" t="str">
        <f t="shared" si="0"/>
        <v>Apr-25</v>
      </c>
      <c r="H4" s="3">
        <f t="shared" si="1"/>
        <v>2025</v>
      </c>
      <c r="I4" s="2">
        <v>45778</v>
      </c>
      <c r="J4" s="2">
        <v>46507</v>
      </c>
      <c r="K4" s="1" t="s">
        <v>47</v>
      </c>
      <c r="L4" s="1">
        <v>12</v>
      </c>
      <c r="M4" s="1" t="s">
        <v>48</v>
      </c>
      <c r="N4" s="1" t="s">
        <v>49</v>
      </c>
      <c r="O4" s="1">
        <v>583431</v>
      </c>
      <c r="P4" s="1" t="s">
        <v>50</v>
      </c>
      <c r="Q4" s="1" t="s">
        <v>51</v>
      </c>
      <c r="R4" s="1">
        <v>326873</v>
      </c>
      <c r="S4" s="1" t="s">
        <v>52</v>
      </c>
      <c r="T4" s="1" t="s">
        <v>51</v>
      </c>
      <c r="U4" s="1">
        <v>76</v>
      </c>
      <c r="V4" s="1" t="s">
        <v>53</v>
      </c>
      <c r="W4" s="1" t="s">
        <v>54</v>
      </c>
      <c r="X4" s="1" t="s">
        <v>55</v>
      </c>
      <c r="Y4" s="1" t="s">
        <v>74</v>
      </c>
      <c r="Z4" s="1">
        <v>9614803181</v>
      </c>
      <c r="AA4" s="1" t="s">
        <v>57</v>
      </c>
      <c r="AB4" s="1" t="s">
        <v>75</v>
      </c>
      <c r="AC4" s="1">
        <v>712601</v>
      </c>
      <c r="AD4" s="1" t="s">
        <v>76</v>
      </c>
      <c r="AE4" s="1" t="s">
        <v>77</v>
      </c>
      <c r="AF4" s="1">
        <v>48</v>
      </c>
      <c r="AG4" s="1" t="s">
        <v>61</v>
      </c>
      <c r="AH4" s="1">
        <v>50000</v>
      </c>
      <c r="AI4" s="1" t="s">
        <v>78</v>
      </c>
      <c r="AJ4" s="2">
        <v>45413</v>
      </c>
      <c r="AK4" s="1"/>
      <c r="AL4" s="1"/>
      <c r="AM4" s="1" t="s">
        <v>49</v>
      </c>
      <c r="AN4" s="1" t="s">
        <v>63</v>
      </c>
      <c r="AO4" s="1" t="b">
        <v>1</v>
      </c>
      <c r="AP4" s="1" t="s">
        <v>64</v>
      </c>
      <c r="AQ4" s="1" t="s">
        <v>65</v>
      </c>
      <c r="AR4" s="1"/>
      <c r="AS4" s="1" t="s">
        <v>66</v>
      </c>
      <c r="AT4" s="1"/>
      <c r="AU4" s="1" t="s">
        <v>85</v>
      </c>
      <c r="AV4" s="1" t="s">
        <v>87</v>
      </c>
      <c r="AW4" s="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4.4" x14ac:dyDescent="0.3"/>
  <cols>
    <col min="1" max="1" width="14.33203125" bestFit="1" customWidth="1"/>
    <col min="2" max="2" width="14.21875" bestFit="1" customWidth="1"/>
    <col min="3" max="3" width="13" bestFit="1" customWidth="1"/>
    <col min="4" max="4" width="15.44140625" bestFit="1" customWidth="1"/>
    <col min="5" max="5" width="18.6640625" bestFit="1" customWidth="1"/>
    <col min="6" max="6" width="17.5546875" bestFit="1" customWidth="1"/>
    <col min="7" max="7" width="14.44140625" bestFit="1" customWidth="1"/>
    <col min="8" max="8" width="13.77734375" bestFit="1" customWidth="1"/>
    <col min="9" max="9" width="13.33203125" bestFit="1" customWidth="1"/>
    <col min="10" max="10" width="18.109375" bestFit="1" customWidth="1"/>
    <col min="11" max="11" width="11.77734375" bestFit="1" customWidth="1"/>
    <col min="12" max="12" width="10.88671875" bestFit="1" customWidth="1"/>
    <col min="13" max="13" width="6.21875" bestFit="1" customWidth="1"/>
    <col min="14" max="14" width="16" bestFit="1" customWidth="1"/>
    <col min="15" max="15" width="11.5546875" bestFit="1" customWidth="1"/>
    <col min="16" max="16" width="10" bestFit="1" customWidth="1"/>
    <col min="17" max="17" width="15.6640625" bestFit="1" customWidth="1"/>
    <col min="18" max="18" width="18.77734375" bestFit="1" customWidth="1"/>
    <col min="19" max="19" width="8.5546875" bestFit="1" customWidth="1"/>
    <col min="20" max="20" width="12.44140625" bestFit="1" customWidth="1"/>
    <col min="21" max="21" width="12.33203125" bestFit="1" customWidth="1"/>
    <col min="22" max="22" width="11.77734375" bestFit="1" customWidth="1"/>
    <col min="23" max="23" width="12.33203125" bestFit="1" customWidth="1"/>
    <col min="24" max="24" width="13.33203125" bestFit="1" customWidth="1"/>
    <col min="25" max="25" width="23.44140625" bestFit="1" customWidth="1"/>
    <col min="26" max="26" width="13.88671875" bestFit="1" customWidth="1"/>
    <col min="27" max="27" width="21.33203125" bestFit="1" customWidth="1"/>
    <col min="28" max="28" width="12.21875" bestFit="1" customWidth="1"/>
    <col min="29" max="29" width="15.33203125" bestFit="1" customWidth="1"/>
    <col min="30" max="30" width="13.109375" bestFit="1" customWidth="1"/>
    <col min="31" max="31" width="13.44140625" bestFit="1" customWidth="1"/>
    <col min="32" max="32" width="17.44140625" bestFit="1" customWidth="1"/>
    <col min="33" max="33" width="19.33203125" bestFit="1" customWidth="1"/>
    <col min="34" max="34" width="9" bestFit="1" customWidth="1"/>
    <col min="36" max="36" width="14.21875" bestFit="1" customWidth="1"/>
    <col min="37" max="37" width="12.109375" bestFit="1" customWidth="1"/>
    <col min="38" max="38" width="11.88671875" bestFit="1" customWidth="1"/>
    <col min="39" max="39" width="11.6640625" bestFit="1" customWidth="1"/>
    <col min="40" max="40" width="5.33203125" bestFit="1" customWidth="1"/>
    <col min="41" max="41" width="13.33203125" bestFit="1" customWidth="1"/>
    <col min="42" max="42" width="11" bestFit="1" customWidth="1"/>
    <col min="43" max="43" width="14.44140625" bestFit="1" customWidth="1"/>
    <col min="45" max="45" width="12.109375" bestFit="1" customWidth="1"/>
    <col min="46" max="46" width="16.77734375" bestFit="1" customWidth="1"/>
  </cols>
  <sheetData>
    <row r="1" spans="1:46" s="1" customFormat="1" ht="18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8</v>
      </c>
      <c r="H1" s="6" t="s">
        <v>9</v>
      </c>
      <c r="I1" s="6" t="s">
        <v>10</v>
      </c>
      <c r="J1" s="6" t="s">
        <v>11</v>
      </c>
      <c r="K1" s="7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7" t="s">
        <v>24</v>
      </c>
      <c r="X1" s="7" t="s">
        <v>25</v>
      </c>
      <c r="Y1" s="6" t="s">
        <v>26</v>
      </c>
      <c r="Z1" s="6" t="s">
        <v>27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7" t="s">
        <v>34</v>
      </c>
      <c r="AG1" s="6" t="s">
        <v>35</v>
      </c>
      <c r="AH1" s="6" t="s">
        <v>36</v>
      </c>
      <c r="AI1" s="6" t="s">
        <v>37</v>
      </c>
      <c r="AJ1" s="6" t="s">
        <v>38</v>
      </c>
      <c r="AK1" s="6" t="s">
        <v>39</v>
      </c>
      <c r="AL1" s="7" t="s">
        <v>40</v>
      </c>
      <c r="AM1" s="6" t="s">
        <v>41</v>
      </c>
      <c r="AN1" s="6" t="s">
        <v>42</v>
      </c>
      <c r="AO1" s="6" t="s">
        <v>43</v>
      </c>
      <c r="AP1" s="6" t="s">
        <v>44</v>
      </c>
      <c r="AQ1" s="6" t="s">
        <v>45</v>
      </c>
      <c r="AR1" s="5" t="s">
        <v>114</v>
      </c>
      <c r="AS1" s="5" t="s">
        <v>80</v>
      </c>
      <c r="AT1" s="5" t="s">
        <v>82</v>
      </c>
    </row>
    <row r="2" spans="1:46" s="1" customFormat="1" ht="18" customHeight="1" x14ac:dyDescent="0.3">
      <c r="A2" s="1">
        <v>15794901</v>
      </c>
      <c r="B2" s="1">
        <v>3499</v>
      </c>
      <c r="C2" s="1">
        <v>3499</v>
      </c>
      <c r="D2" s="1">
        <v>12</v>
      </c>
      <c r="E2" s="1" t="s">
        <v>89</v>
      </c>
      <c r="I2" s="1" t="s">
        <v>113</v>
      </c>
      <c r="K2" s="1" t="s">
        <v>48</v>
      </c>
      <c r="L2" s="1" t="s">
        <v>92</v>
      </c>
      <c r="M2" s="1">
        <v>548709</v>
      </c>
      <c r="N2" s="1" t="s">
        <v>93</v>
      </c>
      <c r="O2" s="1" t="s">
        <v>94</v>
      </c>
      <c r="P2" s="1">
        <v>548708</v>
      </c>
      <c r="Q2" s="1" t="s">
        <v>95</v>
      </c>
      <c r="R2" s="1" t="s">
        <v>96</v>
      </c>
      <c r="S2" s="1">
        <v>141</v>
      </c>
      <c r="T2" s="1" t="s">
        <v>97</v>
      </c>
      <c r="U2" s="1" t="s">
        <v>98</v>
      </c>
      <c r="V2" s="1" t="s">
        <v>79</v>
      </c>
      <c r="W2" s="1" t="s">
        <v>99</v>
      </c>
      <c r="X2" s="1" t="s">
        <v>100</v>
      </c>
      <c r="Y2" s="1" t="s">
        <v>101</v>
      </c>
      <c r="Z2" s="1" t="s">
        <v>102</v>
      </c>
      <c r="AA2" s="1" t="s">
        <v>103</v>
      </c>
      <c r="AC2" s="1">
        <v>48</v>
      </c>
      <c r="AD2" s="1" t="s">
        <v>61</v>
      </c>
      <c r="AE2" s="1" t="s">
        <v>104</v>
      </c>
      <c r="AF2" s="1" t="s">
        <v>105</v>
      </c>
      <c r="AG2" s="1" t="s">
        <v>106</v>
      </c>
      <c r="AJ2" s="1" t="s">
        <v>92</v>
      </c>
      <c r="AK2" s="1" t="s">
        <v>63</v>
      </c>
      <c r="AL2" s="1" t="b">
        <v>1</v>
      </c>
      <c r="AM2" s="1" t="s">
        <v>64</v>
      </c>
      <c r="AN2" s="1" t="s">
        <v>65</v>
      </c>
      <c r="AP2" s="1" t="s">
        <v>66</v>
      </c>
      <c r="AR2" s="1">
        <v>12233455</v>
      </c>
      <c r="AS2" s="1" t="s">
        <v>115</v>
      </c>
      <c r="AT2" s="1" t="s">
        <v>116</v>
      </c>
    </row>
    <row r="3" spans="1:46" s="1" customFormat="1" ht="18" customHeight="1" x14ac:dyDescent="0.3">
      <c r="A3" s="1">
        <v>15801404</v>
      </c>
      <c r="B3" s="1">
        <v>3499</v>
      </c>
      <c r="C3" s="1">
        <v>3499</v>
      </c>
      <c r="D3" s="1">
        <v>12</v>
      </c>
      <c r="E3" s="1" t="s">
        <v>107</v>
      </c>
      <c r="I3" s="1" t="s">
        <v>113</v>
      </c>
      <c r="K3" s="1" t="s">
        <v>48</v>
      </c>
      <c r="L3" s="1" t="s">
        <v>92</v>
      </c>
      <c r="M3" s="1">
        <v>548709</v>
      </c>
      <c r="N3" s="1" t="s">
        <v>93</v>
      </c>
      <c r="O3" s="1" t="s">
        <v>94</v>
      </c>
      <c r="P3" s="1">
        <v>548708</v>
      </c>
      <c r="Q3" s="1" t="s">
        <v>95</v>
      </c>
      <c r="R3" s="1" t="s">
        <v>96</v>
      </c>
      <c r="S3" s="1">
        <v>141</v>
      </c>
      <c r="T3" s="1" t="s">
        <v>97</v>
      </c>
      <c r="U3" s="1" t="s">
        <v>98</v>
      </c>
      <c r="V3" s="1" t="s">
        <v>79</v>
      </c>
      <c r="W3" s="1" t="s">
        <v>99</v>
      </c>
      <c r="X3" s="1" t="s">
        <v>108</v>
      </c>
      <c r="Y3" s="1" t="s">
        <v>101</v>
      </c>
      <c r="Z3" s="1" t="s">
        <v>109</v>
      </c>
      <c r="AA3" s="1" t="s">
        <v>103</v>
      </c>
      <c r="AC3" s="1">
        <v>48</v>
      </c>
      <c r="AD3" s="1" t="s">
        <v>61</v>
      </c>
      <c r="AE3" s="1" t="s">
        <v>104</v>
      </c>
      <c r="AF3" s="1" t="s">
        <v>110</v>
      </c>
      <c r="AG3" s="1" t="s">
        <v>106</v>
      </c>
      <c r="AJ3" s="1" t="s">
        <v>92</v>
      </c>
      <c r="AK3" s="1" t="s">
        <v>63</v>
      </c>
      <c r="AL3" s="1" t="b">
        <v>1</v>
      </c>
      <c r="AM3" s="1" t="s">
        <v>64</v>
      </c>
      <c r="AN3" s="1" t="s">
        <v>65</v>
      </c>
      <c r="AP3" s="1" t="s">
        <v>66</v>
      </c>
      <c r="AR3" s="1" t="s">
        <v>85</v>
      </c>
      <c r="AS3" s="1" t="s">
        <v>117</v>
      </c>
      <c r="AT3" s="1" t="s">
        <v>118</v>
      </c>
    </row>
    <row r="4" spans="1:46" s="1" customFormat="1" ht="18" customHeight="1" x14ac:dyDescent="0.3">
      <c r="A4" s="1">
        <v>16071492</v>
      </c>
      <c r="B4" s="1">
        <v>3499</v>
      </c>
      <c r="C4" s="1">
        <v>3499</v>
      </c>
      <c r="D4" s="1">
        <v>12</v>
      </c>
      <c r="E4" s="1" t="s">
        <v>111</v>
      </c>
      <c r="I4" s="1" t="s">
        <v>113</v>
      </c>
      <c r="K4" s="1" t="s">
        <v>48</v>
      </c>
      <c r="L4" s="1" t="s">
        <v>92</v>
      </c>
      <c r="M4" s="1">
        <v>548709</v>
      </c>
      <c r="N4" s="1" t="s">
        <v>93</v>
      </c>
      <c r="O4" s="1" t="s">
        <v>94</v>
      </c>
      <c r="P4" s="1">
        <v>548708</v>
      </c>
      <c r="Q4" s="1" t="s">
        <v>95</v>
      </c>
      <c r="R4" s="1" t="s">
        <v>96</v>
      </c>
      <c r="S4" s="1">
        <v>141</v>
      </c>
      <c r="T4" s="1" t="s">
        <v>97</v>
      </c>
      <c r="U4" s="1" t="s">
        <v>98</v>
      </c>
      <c r="V4" s="1" t="s">
        <v>79</v>
      </c>
      <c r="W4" s="1" t="s">
        <v>99</v>
      </c>
      <c r="X4" s="1" t="s">
        <v>108</v>
      </c>
      <c r="Y4" s="1" t="s">
        <v>101</v>
      </c>
      <c r="Z4" s="1" t="s">
        <v>109</v>
      </c>
      <c r="AA4" s="1" t="s">
        <v>103</v>
      </c>
      <c r="AC4" s="1">
        <v>48</v>
      </c>
      <c r="AD4" s="1" t="s">
        <v>61</v>
      </c>
      <c r="AE4" s="1" t="s">
        <v>104</v>
      </c>
      <c r="AF4" s="1" t="s">
        <v>110</v>
      </c>
      <c r="AG4" s="1" t="s">
        <v>106</v>
      </c>
      <c r="AJ4" s="1" t="s">
        <v>92</v>
      </c>
      <c r="AK4" s="1" t="s">
        <v>63</v>
      </c>
      <c r="AL4" s="1" t="b">
        <v>1</v>
      </c>
      <c r="AM4" s="1" t="s">
        <v>64</v>
      </c>
      <c r="AN4" s="1" t="s">
        <v>65</v>
      </c>
      <c r="AP4" s="1" t="s">
        <v>66</v>
      </c>
      <c r="AR4" s="1" t="s">
        <v>85</v>
      </c>
      <c r="AS4" s="1" t="s">
        <v>117</v>
      </c>
      <c r="AT4" s="1" t="s">
        <v>119</v>
      </c>
    </row>
    <row r="5" spans="1:46" s="1" customFormat="1" ht="18" customHeight="1" x14ac:dyDescent="0.3">
      <c r="A5" s="1">
        <v>16071518</v>
      </c>
      <c r="B5" s="1">
        <v>3499</v>
      </c>
      <c r="C5" s="1">
        <v>3499</v>
      </c>
      <c r="D5" s="1">
        <v>12</v>
      </c>
      <c r="E5" s="1" t="s">
        <v>112</v>
      </c>
      <c r="I5" s="1" t="s">
        <v>90</v>
      </c>
      <c r="K5" s="1" t="s">
        <v>91</v>
      </c>
      <c r="L5" s="1" t="s">
        <v>92</v>
      </c>
      <c r="M5" s="1">
        <v>548709</v>
      </c>
      <c r="N5" s="1" t="s">
        <v>93</v>
      </c>
      <c r="O5" s="1" t="s">
        <v>94</v>
      </c>
      <c r="P5" s="1">
        <v>548708</v>
      </c>
      <c r="Q5" s="1" t="s">
        <v>95</v>
      </c>
      <c r="R5" s="1" t="s">
        <v>96</v>
      </c>
      <c r="S5" s="1">
        <v>141</v>
      </c>
      <c r="T5" s="1" t="s">
        <v>97</v>
      </c>
      <c r="U5" s="1" t="s">
        <v>98</v>
      </c>
      <c r="V5" s="1" t="s">
        <v>79</v>
      </c>
      <c r="W5" s="1" t="s">
        <v>99</v>
      </c>
      <c r="X5" s="1" t="s">
        <v>108</v>
      </c>
      <c r="Y5" s="1" t="s">
        <v>101</v>
      </c>
      <c r="Z5" s="1" t="s">
        <v>109</v>
      </c>
      <c r="AA5" s="1" t="s">
        <v>103</v>
      </c>
      <c r="AC5" s="1">
        <v>48</v>
      </c>
      <c r="AD5" s="1" t="s">
        <v>61</v>
      </c>
      <c r="AE5" s="1" t="s">
        <v>104</v>
      </c>
      <c r="AF5" s="1" t="s">
        <v>110</v>
      </c>
      <c r="AG5" s="1" t="s">
        <v>106</v>
      </c>
      <c r="AJ5" s="1" t="s">
        <v>92</v>
      </c>
      <c r="AK5" s="1" t="s">
        <v>63</v>
      </c>
      <c r="AL5" s="1" t="b">
        <v>0</v>
      </c>
      <c r="AM5" s="1" t="s">
        <v>64</v>
      </c>
      <c r="AN5" s="1" t="s">
        <v>65</v>
      </c>
      <c r="AP5" s="1" t="s">
        <v>66</v>
      </c>
      <c r="AR5" s="1" t="s">
        <v>85</v>
      </c>
      <c r="AS5" s="1" t="s">
        <v>117</v>
      </c>
      <c r="AT5" s="1" t="s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/>
  </sheetViews>
  <sheetFormatPr defaultRowHeight="14.4" x14ac:dyDescent="0.3"/>
  <cols>
    <col min="1" max="1" width="14.33203125" bestFit="1" customWidth="1"/>
    <col min="2" max="2" width="14.21875" bestFit="1" customWidth="1"/>
    <col min="3" max="3" width="13" bestFit="1" customWidth="1"/>
    <col min="4" max="4" width="15.44140625" bestFit="1" customWidth="1"/>
    <col min="5" max="5" width="18.6640625" bestFit="1" customWidth="1"/>
    <col min="6" max="6" width="17.5546875" bestFit="1" customWidth="1"/>
    <col min="7" max="7" width="14.44140625" bestFit="1" customWidth="1"/>
    <col min="8" max="8" width="13.77734375" bestFit="1" customWidth="1"/>
    <col min="9" max="9" width="18.109375" bestFit="1" customWidth="1"/>
    <col min="10" max="10" width="11.77734375" bestFit="1" customWidth="1"/>
    <col min="11" max="11" width="13.109375" bestFit="1" customWidth="1"/>
    <col min="12" max="12" width="6.6640625" bestFit="1" customWidth="1"/>
    <col min="13" max="13" width="14" bestFit="1" customWidth="1"/>
    <col min="14" max="14" width="27.109375" bestFit="1" customWidth="1"/>
    <col min="15" max="15" width="7.5546875" bestFit="1" customWidth="1"/>
    <col min="16" max="16" width="15.33203125" bestFit="1" customWidth="1"/>
    <col min="17" max="17" width="24.33203125" bestFit="1" customWidth="1"/>
    <col min="18" max="18" width="17.21875" bestFit="1" customWidth="1"/>
    <col min="19" max="19" width="13.109375" bestFit="1" customWidth="1"/>
    <col min="20" max="20" width="17.44140625" bestFit="1" customWidth="1"/>
    <col min="21" max="21" width="17.33203125" bestFit="1" customWidth="1"/>
    <col min="22" max="22" width="26.21875" bestFit="1" customWidth="1"/>
    <col min="23" max="23" width="13.21875" bestFit="1" customWidth="1"/>
    <col min="24" max="24" width="17.21875" bestFit="1" customWidth="1"/>
  </cols>
  <sheetData>
    <row r="1" spans="1:24" s="9" customFormat="1" ht="12" x14ac:dyDescent="0.25">
      <c r="A1" s="8" t="s">
        <v>0</v>
      </c>
      <c r="B1" s="8" t="s">
        <v>1</v>
      </c>
      <c r="C1" s="8" t="s">
        <v>2</v>
      </c>
      <c r="D1" s="8" t="s">
        <v>3</v>
      </c>
      <c r="E1" s="11" t="s">
        <v>4</v>
      </c>
      <c r="F1" s="11" t="s">
        <v>5</v>
      </c>
      <c r="G1" s="8" t="s">
        <v>8</v>
      </c>
      <c r="H1" s="8" t="s">
        <v>9</v>
      </c>
      <c r="I1" s="8" t="s">
        <v>11</v>
      </c>
      <c r="J1" s="8" t="s">
        <v>12</v>
      </c>
      <c r="K1" s="8" t="s">
        <v>13</v>
      </c>
      <c r="L1" s="8" t="s">
        <v>121</v>
      </c>
      <c r="M1" s="11" t="s">
        <v>122</v>
      </c>
      <c r="N1" s="11" t="s">
        <v>123</v>
      </c>
      <c r="O1" s="8" t="s">
        <v>124</v>
      </c>
      <c r="P1" s="8" t="s">
        <v>125</v>
      </c>
      <c r="Q1" s="8" t="s">
        <v>21</v>
      </c>
      <c r="R1" s="11" t="s">
        <v>29</v>
      </c>
      <c r="S1" s="8" t="s">
        <v>32</v>
      </c>
      <c r="T1" s="11" t="s">
        <v>34</v>
      </c>
      <c r="U1" s="8" t="s">
        <v>35</v>
      </c>
      <c r="V1" s="11" t="s">
        <v>38</v>
      </c>
      <c r="W1" s="8" t="s">
        <v>126</v>
      </c>
      <c r="X1" s="8" t="s">
        <v>127</v>
      </c>
    </row>
    <row r="2" spans="1:24" s="9" customFormat="1" ht="18" customHeight="1" x14ac:dyDescent="0.25">
      <c r="A2" s="10">
        <v>17343374</v>
      </c>
      <c r="B2" s="10">
        <v>949</v>
      </c>
      <c r="C2" s="10">
        <v>949</v>
      </c>
      <c r="D2" s="10">
        <v>12</v>
      </c>
      <c r="E2" s="10" t="s">
        <v>128</v>
      </c>
      <c r="F2" s="10" t="s">
        <v>129</v>
      </c>
      <c r="G2" s="10" t="s">
        <v>130</v>
      </c>
      <c r="H2" s="10" t="s">
        <v>131</v>
      </c>
      <c r="I2" s="10">
        <v>12</v>
      </c>
      <c r="J2" s="10" t="s">
        <v>48</v>
      </c>
      <c r="K2" s="10" t="s">
        <v>132</v>
      </c>
      <c r="L2" s="10">
        <v>637838</v>
      </c>
      <c r="M2" s="10" t="s">
        <v>133</v>
      </c>
      <c r="N2" s="10" t="s">
        <v>134</v>
      </c>
      <c r="O2" s="10">
        <v>596147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139</v>
      </c>
      <c r="U2" s="10" t="s">
        <v>130</v>
      </c>
      <c r="V2" s="10" t="s">
        <v>140</v>
      </c>
      <c r="W2" s="10" t="s">
        <v>141</v>
      </c>
      <c r="X2" s="10" t="s">
        <v>142</v>
      </c>
    </row>
    <row r="3" spans="1:24" s="9" customFormat="1" ht="18" customHeight="1" x14ac:dyDescent="0.25">
      <c r="A3" s="10">
        <v>17342134</v>
      </c>
      <c r="B3" s="10">
        <v>25999</v>
      </c>
      <c r="C3" s="10">
        <v>25999</v>
      </c>
      <c r="D3" s="10">
        <v>24</v>
      </c>
      <c r="E3" s="10" t="s">
        <v>143</v>
      </c>
      <c r="F3" s="10" t="s">
        <v>129</v>
      </c>
      <c r="G3" s="10" t="s">
        <v>144</v>
      </c>
      <c r="H3" s="10" t="s">
        <v>145</v>
      </c>
      <c r="I3" s="10">
        <v>12</v>
      </c>
      <c r="J3" s="10" t="s">
        <v>48</v>
      </c>
      <c r="K3" s="10" t="s">
        <v>146</v>
      </c>
      <c r="L3" s="10">
        <v>637837</v>
      </c>
      <c r="M3" s="10" t="s">
        <v>147</v>
      </c>
      <c r="N3" s="10" t="s">
        <v>148</v>
      </c>
      <c r="O3" s="10">
        <v>596147</v>
      </c>
      <c r="P3" s="10" t="s">
        <v>135</v>
      </c>
      <c r="Q3" s="10" t="s">
        <v>136</v>
      </c>
      <c r="R3" s="10" t="s">
        <v>149</v>
      </c>
      <c r="S3" s="10" t="s">
        <v>138</v>
      </c>
      <c r="T3" s="10" t="s">
        <v>150</v>
      </c>
      <c r="U3" s="10" t="s">
        <v>130</v>
      </c>
      <c r="V3" s="10" t="s">
        <v>151</v>
      </c>
      <c r="W3" s="10" t="s">
        <v>152</v>
      </c>
      <c r="X3" s="10" t="s">
        <v>153</v>
      </c>
    </row>
    <row r="4" spans="1:24" s="9" customFormat="1" ht="18" customHeight="1" x14ac:dyDescent="0.25">
      <c r="A4" s="10">
        <v>17342137</v>
      </c>
      <c r="B4" s="10">
        <v>25999</v>
      </c>
      <c r="C4" s="10">
        <v>25999</v>
      </c>
      <c r="D4" s="10">
        <v>24</v>
      </c>
      <c r="E4" s="10" t="s">
        <v>154</v>
      </c>
      <c r="F4" s="10" t="s">
        <v>129</v>
      </c>
      <c r="G4" s="10" t="s">
        <v>155</v>
      </c>
      <c r="H4" s="10" t="s">
        <v>156</v>
      </c>
      <c r="I4" s="10">
        <v>12</v>
      </c>
      <c r="J4" s="10" t="s">
        <v>48</v>
      </c>
      <c r="K4" s="10" t="s">
        <v>146</v>
      </c>
      <c r="L4" s="10">
        <v>676317</v>
      </c>
      <c r="M4" s="10" t="s">
        <v>157</v>
      </c>
      <c r="N4" s="10" t="s">
        <v>158</v>
      </c>
      <c r="O4" s="10">
        <v>596147</v>
      </c>
      <c r="P4" s="10" t="s">
        <v>135</v>
      </c>
      <c r="Q4" s="10" t="s">
        <v>136</v>
      </c>
      <c r="R4" s="10" t="s">
        <v>159</v>
      </c>
      <c r="S4" s="10" t="s">
        <v>138</v>
      </c>
      <c r="T4" s="10" t="s">
        <v>160</v>
      </c>
      <c r="U4" s="10" t="s">
        <v>161</v>
      </c>
      <c r="V4" s="10" t="s">
        <v>151</v>
      </c>
      <c r="W4" s="10" t="s">
        <v>162</v>
      </c>
      <c r="X4" s="10" t="s">
        <v>153</v>
      </c>
    </row>
    <row r="5" spans="1:24" s="9" customFormat="1" ht="18" customHeight="1" x14ac:dyDescent="0.25">
      <c r="A5" s="10">
        <v>17114469</v>
      </c>
      <c r="B5" s="10">
        <v>11599</v>
      </c>
      <c r="C5" s="10">
        <v>11599</v>
      </c>
      <c r="D5" s="10">
        <v>24</v>
      </c>
      <c r="E5" s="10" t="s">
        <v>163</v>
      </c>
      <c r="F5" s="10" t="s">
        <v>164</v>
      </c>
      <c r="G5" s="10" t="s">
        <v>165</v>
      </c>
      <c r="H5" s="10" t="s">
        <v>166</v>
      </c>
      <c r="I5" s="10">
        <v>12</v>
      </c>
      <c r="J5" s="10" t="s">
        <v>48</v>
      </c>
      <c r="K5" s="10" t="s">
        <v>146</v>
      </c>
      <c r="L5" s="10">
        <v>678028</v>
      </c>
      <c r="M5" s="10" t="s">
        <v>167</v>
      </c>
      <c r="N5" s="10" t="s">
        <v>168</v>
      </c>
      <c r="O5" s="10">
        <v>596147</v>
      </c>
      <c r="P5" s="10" t="s">
        <v>135</v>
      </c>
      <c r="Q5" s="10" t="s">
        <v>136</v>
      </c>
      <c r="R5" s="10" t="s">
        <v>169</v>
      </c>
      <c r="S5" s="10" t="s">
        <v>138</v>
      </c>
      <c r="T5" s="10" t="s">
        <v>170</v>
      </c>
      <c r="U5" s="10" t="s">
        <v>171</v>
      </c>
      <c r="V5" s="10" t="s">
        <v>151</v>
      </c>
      <c r="W5" s="10" t="s">
        <v>172</v>
      </c>
      <c r="X5" s="1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Hitachi</vt:lpstr>
      <vt:lpstr>Godrej</vt:lpstr>
      <vt:lpstr>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Sinha</dc:creator>
  <cp:lastModifiedBy>Umang Sinha</cp:lastModifiedBy>
  <dcterms:created xsi:type="dcterms:W3CDTF">2026-10-01T21:08:23Z</dcterms:created>
  <dcterms:modified xsi:type="dcterms:W3CDTF">2026-10-01T21:21:09Z</dcterms:modified>
</cp:coreProperties>
</file>